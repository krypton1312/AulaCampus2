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YEHORBURLACHENKO\AulaCampus2\IPE2\"/>
    </mc:Choice>
  </mc:AlternateContent>
  <xr:revisionPtr revIDLastSave="0" documentId="8_{94438C1B-0FC3-434A-B11A-4C203F138AE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stados Financieros" sheetId="2" r:id="rId1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2" l="1"/>
  <c r="H24" i="2"/>
  <c r="H25" i="2" s="1"/>
  <c r="E16" i="2"/>
  <c r="E11" i="2"/>
  <c r="E23" i="2"/>
  <c r="E28" i="2" s="1"/>
  <c r="C20" i="2"/>
  <c r="C28" i="2" l="1"/>
  <c r="C4" i="2" s="1"/>
</calcChain>
</file>

<file path=xl/sharedStrings.xml><?xml version="1.0" encoding="utf-8"?>
<sst xmlns="http://schemas.openxmlformats.org/spreadsheetml/2006/main" count="55" uniqueCount="55">
  <si>
    <t>A-(PN+P)</t>
  </si>
  <si>
    <t>RECUERDA QUE EL ACTIVO DE SER IGUAL AL P. NETO+PASIVO</t>
  </si>
  <si>
    <t>ESTE VALOR DEBE SER CERO</t>
  </si>
  <si>
    <t>BALANCE INICIAL</t>
  </si>
  <si>
    <t xml:space="preserve">CUENTA DE RESULTADOS </t>
  </si>
  <si>
    <t xml:space="preserve">LAS INVERSIONES </t>
  </si>
  <si>
    <t>LAS FUENTES DE FINANCIACIÓN</t>
  </si>
  <si>
    <t>Indica las inversiones necesarias para iniciar la actividad.</t>
  </si>
  <si>
    <t>Indica los orígenes y la cantidad de financiación que necesitas</t>
  </si>
  <si>
    <t>ACTIVO</t>
  </si>
  <si>
    <t>PATRIMONIO NETO +PASIVO</t>
  </si>
  <si>
    <t xml:space="preserve">INGRESOS MENOS GASTOS </t>
  </si>
  <si>
    <t>Activo No Corriente (INVERSIONES A LARGO PLAZO)</t>
  </si>
  <si>
    <r>
      <t xml:space="preserve">Patrimonio Neto </t>
    </r>
    <r>
      <rPr>
        <b/>
        <sz val="8"/>
        <rFont val="Tahoma"/>
        <family val="2"/>
      </rPr>
      <t>(aportaciones de socios+beneficios o perdidas de la empresa)</t>
    </r>
  </si>
  <si>
    <t>TOTAL ANUAL  €</t>
  </si>
  <si>
    <r>
      <t xml:space="preserve">Capital social </t>
    </r>
    <r>
      <rPr>
        <i/>
        <sz val="10"/>
        <rFont val="Tahoma"/>
        <family val="2"/>
      </rPr>
      <t>(suma de aportaciones de los socios)</t>
    </r>
  </si>
  <si>
    <t xml:space="preserve">Ingresos por ventas (tus previsiones de ventas) </t>
  </si>
  <si>
    <t>Alquiler de local</t>
  </si>
  <si>
    <t>Asesoría-gestoría, etc</t>
  </si>
  <si>
    <t>Transportes</t>
  </si>
  <si>
    <t>Pasivo No Corriente (Deudas a largo plazo &gt; 1 año)</t>
  </si>
  <si>
    <t>Gastos bancarios</t>
  </si>
  <si>
    <t>Bancos, cajas, entidades financieras a largo plazo</t>
  </si>
  <si>
    <t>Publicidad</t>
  </si>
  <si>
    <t>Préstamos familiares a largo plazo</t>
  </si>
  <si>
    <t>Coste Personal: socios/as</t>
  </si>
  <si>
    <t>Financiación privada de alguna persona a largo plazo</t>
  </si>
  <si>
    <t>Coste Personal: cuenta ajena</t>
  </si>
  <si>
    <t>Activo Corriente (INVERSIONES A CORTO PLAZO)</t>
  </si>
  <si>
    <t>Deuda proveedores de maquinaria, mobiliario, vehículos…</t>
  </si>
  <si>
    <t>Suministros (Luz, agua, teléfono, ...)</t>
  </si>
  <si>
    <t xml:space="preserve">Materias Primas </t>
  </si>
  <si>
    <t>Seguros</t>
  </si>
  <si>
    <r>
      <t>Existencias (</t>
    </r>
    <r>
      <rPr>
        <i/>
        <sz val="10"/>
        <rFont val="Tahoma"/>
        <family val="2"/>
      </rPr>
      <t>producto terminado para la venta</t>
    </r>
    <r>
      <rPr>
        <sz val="10"/>
        <rFont val="Tahoma"/>
        <family val="2"/>
      </rPr>
      <t xml:space="preserve">) </t>
    </r>
  </si>
  <si>
    <t>Intereses de Deuda</t>
  </si>
  <si>
    <t>Pasivo Corriente (Deudas a corto plazo &lt; 1 año)</t>
  </si>
  <si>
    <t>Otros...</t>
  </si>
  <si>
    <t>Total Gastos</t>
  </si>
  <si>
    <t>Préstamos de bancos y entidades financieras préstamos a corto plazo</t>
  </si>
  <si>
    <r>
      <t xml:space="preserve">Beneficio ó Pérdida </t>
    </r>
    <r>
      <rPr>
        <b/>
        <sz val="10"/>
        <rFont val="Tahoma"/>
        <family val="2"/>
      </rPr>
      <t>(Resultado antes de impuestos)</t>
    </r>
  </si>
  <si>
    <r>
      <t xml:space="preserve">Proveedores </t>
    </r>
    <r>
      <rPr>
        <i/>
        <sz val="10"/>
        <rFont val="Tahoma"/>
        <family val="2"/>
      </rPr>
      <t>(materia prima, existencias,…)</t>
    </r>
  </si>
  <si>
    <t>TOTAL INVERSIONES =  ACTIVO</t>
  </si>
  <si>
    <t>TOTAL FINANCIACIÓN=P.NETO+PASIVO</t>
  </si>
  <si>
    <t>RESULTADO(C22)= Ingresos por Ventas (C8) - Total Gastos (C21)</t>
  </si>
  <si>
    <t xml:space="preserve"> </t>
  </si>
  <si>
    <t>Infraestructura física (espacio de trabajo / home office)</t>
  </si>
  <si>
    <t>Infraestructura tecnológica básica (red, configuración inicial)</t>
  </si>
  <si>
    <t>Equipamiento técnico de desarrollo</t>
  </si>
  <si>
    <t>Mobiliario de puesto de trabajo</t>
  </si>
  <si>
    <t>Equipos informáticos y dispositivos de desarrollo</t>
  </si>
  <si>
    <t>Software, licencias y herramientas digitales</t>
  </si>
  <si>
    <t>Medios de desplazamiento profesional</t>
  </si>
  <si>
    <t>Desarrollo inicial del producto y activos intangibles</t>
  </si>
  <si>
    <t>Servicios digitales a corto plazo (cloud, SaaS)</t>
  </si>
  <si>
    <t>Tesorería inicial en banco o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</si>
</sst>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4" x14ac:knownFonts="1">
    <font>
      <sz val="10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sz val="8"/>
      <name val="Arial"/>
      <family val="2"/>
    </font>
    <font>
      <b/>
      <sz val="14"/>
      <color theme="9"/>
      <name val="Tahoma"/>
      <family val="2"/>
    </font>
    <font>
      <b/>
      <sz val="10"/>
      <color rgb="FFFF0000"/>
      <name val="Tahoma"/>
      <family val="2"/>
    </font>
    <font>
      <sz val="10"/>
      <name val="Arial"/>
      <family val="2"/>
    </font>
    <font>
      <b/>
      <sz val="9"/>
      <name val="Tahoma"/>
      <family val="2"/>
    </font>
    <font>
      <i/>
      <sz val="10"/>
      <name val="Tahoma"/>
      <family val="2"/>
    </font>
    <font>
      <b/>
      <sz val="8"/>
      <name val="Tahoma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4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4" fontId="1" fillId="0" borderId="4" xfId="0" applyNumberFormat="1" applyFont="1" applyBorder="1" applyAlignment="1" applyProtection="1">
      <alignment horizontal="right" vertical="center" wrapText="1"/>
      <protection locked="0"/>
    </xf>
    <xf numFmtId="0" fontId="1" fillId="0" borderId="5" xfId="0" applyFont="1" applyBorder="1" applyAlignment="1">
      <alignment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4" borderId="0" xfId="0" applyFont="1" applyFill="1"/>
    <xf numFmtId="0" fontId="2" fillId="4" borderId="0" xfId="0" applyFont="1" applyFill="1"/>
    <xf numFmtId="0" fontId="0" fillId="4" borderId="0" xfId="0" applyFill="1"/>
    <xf numFmtId="0" fontId="7" fillId="4" borderId="0" xfId="0" applyFont="1" applyFill="1" applyAlignment="1">
      <alignment horizontal="center"/>
    </xf>
    <xf numFmtId="0" fontId="3" fillId="0" borderId="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center" wrapText="1"/>
    </xf>
    <xf numFmtId="0" fontId="8" fillId="4" borderId="0" xfId="0" applyFont="1" applyFill="1"/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0" fontId="1" fillId="5" borderId="0" xfId="0" applyFont="1" applyFill="1"/>
    <xf numFmtId="0" fontId="1" fillId="4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left" vertical="top"/>
    </xf>
    <xf numFmtId="0" fontId="1" fillId="0" borderId="16" xfId="0" applyFont="1" applyBorder="1"/>
    <xf numFmtId="0" fontId="1" fillId="0" borderId="16" xfId="0" applyFont="1" applyBorder="1" applyAlignment="1">
      <alignment vertical="top" wrapText="1"/>
    </xf>
    <xf numFmtId="4" fontId="1" fillId="0" borderId="21" xfId="0" applyNumberFormat="1" applyFont="1" applyBorder="1" applyAlignment="1" applyProtection="1">
      <alignment horizontal="right" vertical="center" wrapText="1"/>
      <protection locked="0"/>
    </xf>
    <xf numFmtId="4" fontId="2" fillId="3" borderId="15" xfId="0" applyNumberFormat="1" applyFont="1" applyFill="1" applyBorder="1" applyAlignment="1">
      <alignment vertical="top" wrapText="1"/>
    </xf>
    <xf numFmtId="0" fontId="3" fillId="0" borderId="22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left" vertical="center" wrapText="1"/>
    </xf>
    <xf numFmtId="0" fontId="1" fillId="0" borderId="16" xfId="0" applyFont="1" applyBorder="1" applyAlignment="1">
      <alignment vertical="top"/>
    </xf>
    <xf numFmtId="0" fontId="2" fillId="3" borderId="23" xfId="0" applyFont="1" applyFill="1" applyBorder="1" applyAlignment="1">
      <alignment horizontal="center" vertical="top" wrapText="1"/>
    </xf>
    <xf numFmtId="0" fontId="2" fillId="3" borderId="24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left" vertical="top" wrapText="1"/>
    </xf>
    <xf numFmtId="4" fontId="2" fillId="3" borderId="12" xfId="0" applyNumberFormat="1" applyFont="1" applyFill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2" fillId="3" borderId="15" xfId="0" applyFont="1" applyFill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5" fillId="4" borderId="1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4" fontId="1" fillId="0" borderId="0" xfId="1" applyFont="1"/>
    <xf numFmtId="44" fontId="1" fillId="3" borderId="16" xfId="1" applyFont="1" applyFill="1" applyBorder="1" applyAlignment="1" applyProtection="1">
      <alignment horizontal="right" vertical="center" wrapText="1"/>
      <protection locked="0"/>
    </xf>
    <xf numFmtId="44" fontId="1" fillId="0" borderId="4" xfId="1" applyFont="1" applyBorder="1" applyAlignment="1" applyProtection="1">
      <alignment horizontal="right" vertical="center" wrapText="1"/>
      <protection locked="0"/>
    </xf>
    <xf numFmtId="44" fontId="1" fillId="0" borderId="18" xfId="1" applyFont="1" applyBorder="1" applyAlignment="1">
      <alignment vertical="top" wrapText="1"/>
    </xf>
    <xf numFmtId="44" fontId="1" fillId="3" borderId="4" xfId="1" applyFont="1" applyFill="1" applyBorder="1" applyAlignment="1" applyProtection="1">
      <alignment horizontal="right" vertical="center" wrapText="1"/>
      <protection locked="0"/>
    </xf>
    <xf numFmtId="44" fontId="1" fillId="0" borderId="2" xfId="1" applyFont="1" applyBorder="1" applyAlignment="1" applyProtection="1">
      <alignment horizontal="right" vertical="center" wrapText="1"/>
      <protection locked="0"/>
    </xf>
    <xf numFmtId="44" fontId="1" fillId="0" borderId="25" xfId="1" applyFont="1" applyBorder="1" applyAlignment="1" applyProtection="1">
      <alignment horizontal="right" vertical="center" wrapText="1"/>
      <protection locked="0"/>
    </xf>
    <xf numFmtId="44" fontId="1" fillId="2" borderId="8" xfId="1" applyFont="1" applyFill="1" applyBorder="1" applyAlignment="1">
      <alignment horizontal="right" vertical="top" wrapText="1"/>
    </xf>
    <xf numFmtId="44" fontId="2" fillId="3" borderId="20" xfId="1" applyFont="1" applyFill="1" applyBorder="1" applyAlignment="1">
      <alignment horizontal="right" vertical="top" wrapText="1"/>
    </xf>
    <xf numFmtId="44" fontId="2" fillId="3" borderId="19" xfId="1" applyFont="1" applyFill="1" applyBorder="1" applyAlignment="1">
      <alignment horizontal="righ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1993900</xdr:colOff>
      <xdr:row>37</xdr:row>
      <xdr:rowOff>107950</xdr:rowOff>
    </xdr:to>
    <xdr:pic>
      <xdr:nvPicPr>
        <xdr:cNvPr id="2" name="1 Imagen" descr="log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6000750"/>
          <a:ext cx="1993900" cy="1060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E22" zoomScale="115" zoomScaleNormal="115" workbookViewId="0">
      <selection activeCell="H38" sqref="H38"/>
    </sheetView>
  </sheetViews>
  <sheetFormatPr baseColWidth="10" defaultColWidth="11.42578125" defaultRowHeight="12.75" x14ac:dyDescent="0.2"/>
  <cols>
    <col min="1" max="1" width="11.42578125" style="1"/>
    <col min="2" max="2" width="62.42578125" style="1" customWidth="1"/>
    <col min="3" max="3" width="23.85546875" style="1" customWidth="1"/>
    <col min="4" max="4" width="50.5703125" style="1" customWidth="1"/>
    <col min="5" max="5" width="18.42578125" style="1" customWidth="1"/>
    <col min="6" max="6" width="11.42578125" style="1"/>
    <col min="7" max="7" width="43.5703125" style="1" customWidth="1"/>
    <col min="8" max="8" width="31.85546875" style="1" customWidth="1"/>
    <col min="9" max="16384" width="11.42578125" style="1"/>
  </cols>
  <sheetData>
    <row r="1" spans="1:10" x14ac:dyDescent="0.2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17" t="s">
        <v>0</v>
      </c>
      <c r="D3" s="9"/>
      <c r="E3" s="9"/>
      <c r="F3" s="9"/>
      <c r="G3" s="9"/>
      <c r="H3" s="9"/>
      <c r="I3" s="9"/>
      <c r="J3" s="9"/>
    </row>
    <row r="4" spans="1:10" x14ac:dyDescent="0.2">
      <c r="A4" s="9"/>
      <c r="B4" s="16" t="s">
        <v>1</v>
      </c>
      <c r="C4" s="18">
        <f>C28-E28</f>
        <v>0</v>
      </c>
      <c r="D4" s="9"/>
      <c r="E4" s="9"/>
      <c r="F4" s="9"/>
      <c r="G4" s="9"/>
      <c r="H4" s="9"/>
      <c r="I4" s="9"/>
      <c r="J4" s="9"/>
    </row>
    <row r="5" spans="1:10" x14ac:dyDescent="0.2">
      <c r="A5" s="9"/>
      <c r="B5" s="16"/>
      <c r="C5" s="19" t="s">
        <v>2</v>
      </c>
      <c r="D5" s="9"/>
      <c r="E5" s="9"/>
      <c r="F5" s="9"/>
      <c r="G5" s="9"/>
      <c r="H5" s="9"/>
      <c r="I5" s="9"/>
      <c r="J5" s="9"/>
    </row>
    <row r="6" spans="1:10" ht="9.6" customHeight="1" thickBot="1" x14ac:dyDescent="0.25">
      <c r="A6" s="9"/>
      <c r="B6" s="9"/>
      <c r="D6" s="9"/>
      <c r="E6" s="9"/>
      <c r="F6" s="9"/>
      <c r="G6" s="9"/>
      <c r="H6" s="9"/>
      <c r="I6" s="9"/>
      <c r="J6" s="9"/>
    </row>
    <row r="7" spans="1:10" ht="16.5" customHeight="1" thickBot="1" x14ac:dyDescent="0.3">
      <c r="A7" s="9"/>
      <c r="B7" s="36" t="s">
        <v>3</v>
      </c>
      <c r="C7" s="37"/>
      <c r="D7" s="37"/>
      <c r="E7" s="38"/>
      <c r="F7" s="9"/>
      <c r="G7" s="36" t="s">
        <v>4</v>
      </c>
      <c r="H7" s="38"/>
      <c r="I7" s="9"/>
      <c r="J7" s="9"/>
    </row>
    <row r="8" spans="1:10" ht="18" x14ac:dyDescent="0.25">
      <c r="A8" s="9"/>
      <c r="B8" s="12" t="s">
        <v>5</v>
      </c>
      <c r="C8" s="9"/>
      <c r="D8" s="12" t="s">
        <v>6</v>
      </c>
      <c r="E8" s="9"/>
      <c r="F8" s="9"/>
      <c r="G8" s="9"/>
      <c r="H8" s="9"/>
      <c r="I8" s="9"/>
      <c r="J8" s="9"/>
    </row>
    <row r="9" spans="1:10" ht="13.5" thickBot="1" x14ac:dyDescent="0.25">
      <c r="A9" s="9"/>
      <c r="B9" s="20" t="s">
        <v>7</v>
      </c>
      <c r="C9" s="9"/>
      <c r="D9" s="20" t="s">
        <v>8</v>
      </c>
      <c r="E9" s="9"/>
      <c r="F9" s="9"/>
      <c r="G9" s="9"/>
      <c r="H9" s="9"/>
      <c r="I9" s="9"/>
      <c r="J9" s="9"/>
    </row>
    <row r="10" spans="1:10" ht="15.75" thickBot="1" x14ac:dyDescent="0.25">
      <c r="A10" s="9"/>
      <c r="B10" s="29" t="s">
        <v>9</v>
      </c>
      <c r="C10" s="30"/>
      <c r="D10" s="41" t="s">
        <v>10</v>
      </c>
      <c r="E10" s="42"/>
      <c r="F10" s="9"/>
      <c r="G10" s="41" t="s">
        <v>11</v>
      </c>
      <c r="H10" s="42"/>
      <c r="I10" s="9"/>
      <c r="J10" s="9"/>
    </row>
    <row r="11" spans="1:10" ht="21.95" customHeight="1" x14ac:dyDescent="0.2">
      <c r="A11" s="9"/>
      <c r="B11" s="14" t="s">
        <v>12</v>
      </c>
      <c r="C11" s="46">
        <f>SUM(C12:C19)</f>
        <v>10000</v>
      </c>
      <c r="D11" s="26" t="s">
        <v>13</v>
      </c>
      <c r="E11" s="49">
        <f>SUM(E12:E15)</f>
        <v>15000</v>
      </c>
      <c r="F11" s="9"/>
      <c r="G11" s="2"/>
      <c r="H11" s="3" t="s">
        <v>14</v>
      </c>
      <c r="I11" s="9"/>
      <c r="J11" s="9"/>
    </row>
    <row r="12" spans="1:10" ht="13.5" customHeight="1" x14ac:dyDescent="0.2">
      <c r="A12" s="9"/>
      <c r="B12" s="4" t="s">
        <v>45</v>
      </c>
      <c r="C12" s="47">
        <v>0</v>
      </c>
      <c r="D12" s="6" t="s">
        <v>15</v>
      </c>
      <c r="E12" s="47">
        <v>15000</v>
      </c>
      <c r="F12" s="9"/>
      <c r="G12" s="21" t="s">
        <v>16</v>
      </c>
      <c r="H12" s="50">
        <v>18000</v>
      </c>
      <c r="I12" s="9"/>
      <c r="J12" s="9"/>
    </row>
    <row r="13" spans="1:10" ht="15.95" customHeight="1" x14ac:dyDescent="0.2">
      <c r="A13" s="9"/>
      <c r="B13" s="6" t="s">
        <v>46</v>
      </c>
      <c r="C13" s="47">
        <v>500</v>
      </c>
      <c r="D13" s="6" t="s">
        <v>44</v>
      </c>
      <c r="E13" s="5"/>
      <c r="F13" s="9"/>
      <c r="G13" s="6" t="s">
        <v>17</v>
      </c>
      <c r="H13" s="51">
        <v>0</v>
      </c>
      <c r="I13" s="9"/>
      <c r="J13" s="9"/>
    </row>
    <row r="14" spans="1:10" ht="15.95" customHeight="1" x14ac:dyDescent="0.2">
      <c r="A14" s="9"/>
      <c r="B14" s="6" t="s">
        <v>47</v>
      </c>
      <c r="C14" s="47">
        <v>700</v>
      </c>
      <c r="D14" s="6"/>
      <c r="E14" s="5"/>
      <c r="F14" s="9"/>
      <c r="G14" s="6" t="s">
        <v>18</v>
      </c>
      <c r="H14" s="47">
        <v>600</v>
      </c>
      <c r="I14" s="9"/>
      <c r="J14" s="9"/>
    </row>
    <row r="15" spans="1:10" ht="15.95" customHeight="1" x14ac:dyDescent="0.2">
      <c r="A15" s="9"/>
      <c r="B15" s="6" t="s">
        <v>48</v>
      </c>
      <c r="C15" s="47">
        <v>600</v>
      </c>
      <c r="D15" s="6"/>
      <c r="E15" s="5"/>
      <c r="F15" s="9"/>
      <c r="G15" s="6" t="s">
        <v>19</v>
      </c>
      <c r="H15" s="47">
        <v>200</v>
      </c>
      <c r="I15" s="9"/>
      <c r="J15" s="9"/>
    </row>
    <row r="16" spans="1:10" ht="15.95" customHeight="1" x14ac:dyDescent="0.2">
      <c r="A16" s="9"/>
      <c r="B16" s="6" t="s">
        <v>49</v>
      </c>
      <c r="C16" s="45">
        <v>2200</v>
      </c>
      <c r="D16" s="13" t="s">
        <v>20</v>
      </c>
      <c r="E16" s="49">
        <f>SUM(E17:E22)</f>
        <v>0</v>
      </c>
      <c r="F16" s="9"/>
      <c r="G16" s="6" t="s">
        <v>21</v>
      </c>
      <c r="H16" s="47">
        <v>150</v>
      </c>
      <c r="I16" s="9"/>
      <c r="J16" s="9"/>
    </row>
    <row r="17" spans="1:10" ht="15.95" customHeight="1" x14ac:dyDescent="0.2">
      <c r="A17" s="9"/>
      <c r="B17" s="6" t="s">
        <v>50</v>
      </c>
      <c r="C17" s="47">
        <v>2000</v>
      </c>
      <c r="D17" s="7" t="s">
        <v>22</v>
      </c>
      <c r="E17" s="47">
        <v>0</v>
      </c>
      <c r="F17" s="9"/>
      <c r="G17" s="6" t="s">
        <v>23</v>
      </c>
      <c r="H17" s="47">
        <v>1200</v>
      </c>
      <c r="I17" s="9"/>
      <c r="J17" s="9"/>
    </row>
    <row r="18" spans="1:10" ht="15.95" customHeight="1" x14ac:dyDescent="0.2">
      <c r="A18" s="9"/>
      <c r="B18" s="6" t="s">
        <v>51</v>
      </c>
      <c r="C18" s="47">
        <v>0</v>
      </c>
      <c r="D18" s="8" t="s">
        <v>24</v>
      </c>
      <c r="E18" s="47">
        <v>0</v>
      </c>
      <c r="F18" s="9"/>
      <c r="G18" s="6" t="s">
        <v>25</v>
      </c>
      <c r="H18" s="47">
        <v>12000</v>
      </c>
      <c r="I18" s="9"/>
      <c r="J18" s="9"/>
    </row>
    <row r="19" spans="1:10" ht="15.95" customHeight="1" x14ac:dyDescent="0.2">
      <c r="A19" s="9"/>
      <c r="B19" s="6" t="s">
        <v>52</v>
      </c>
      <c r="C19" s="47">
        <v>4000</v>
      </c>
      <c r="D19" s="8" t="s">
        <v>26</v>
      </c>
      <c r="E19" s="47">
        <v>0</v>
      </c>
      <c r="F19" s="9"/>
      <c r="G19" s="6" t="s">
        <v>27</v>
      </c>
      <c r="H19" s="47"/>
      <c r="I19" s="9"/>
      <c r="J19" s="9"/>
    </row>
    <row r="20" spans="1:10" ht="15.95" customHeight="1" x14ac:dyDescent="0.2">
      <c r="A20" s="9"/>
      <c r="B20" s="13" t="s">
        <v>28</v>
      </c>
      <c r="C20" s="46">
        <f>SUM(C21:C27)</f>
        <v>5000</v>
      </c>
      <c r="D20" s="27" t="s">
        <v>29</v>
      </c>
      <c r="E20" s="47">
        <v>0</v>
      </c>
      <c r="F20" s="9"/>
      <c r="G20" s="4" t="s">
        <v>30</v>
      </c>
      <c r="H20" s="47">
        <v>1500</v>
      </c>
      <c r="I20" s="9"/>
      <c r="J20" s="9"/>
    </row>
    <row r="21" spans="1:10" ht="15.95" customHeight="1" x14ac:dyDescent="0.2">
      <c r="A21" s="9"/>
      <c r="B21" s="22" t="s">
        <v>31</v>
      </c>
      <c r="C21" s="47">
        <v>0</v>
      </c>
      <c r="D21" s="6"/>
      <c r="E21" s="47">
        <v>0</v>
      </c>
      <c r="F21" s="9"/>
      <c r="G21" s="6" t="s">
        <v>32</v>
      </c>
      <c r="H21" s="47">
        <v>250</v>
      </c>
      <c r="I21" s="9"/>
      <c r="J21" s="9"/>
    </row>
    <row r="22" spans="1:10" ht="15.95" customHeight="1" x14ac:dyDescent="0.2">
      <c r="A22" s="9"/>
      <c r="B22" s="23" t="s">
        <v>33</v>
      </c>
      <c r="C22" s="48">
        <v>0</v>
      </c>
      <c r="D22" s="6"/>
      <c r="E22" s="5"/>
      <c r="F22" s="9"/>
      <c r="G22" s="6" t="s">
        <v>34</v>
      </c>
      <c r="H22" s="47">
        <v>0</v>
      </c>
      <c r="I22" s="9"/>
      <c r="J22" s="9"/>
    </row>
    <row r="23" spans="1:10" ht="15.95" customHeight="1" x14ac:dyDescent="0.2">
      <c r="A23" s="9"/>
      <c r="B23" s="23" t="s">
        <v>53</v>
      </c>
      <c r="C23" s="47">
        <v>1000</v>
      </c>
      <c r="D23" s="13" t="s">
        <v>35</v>
      </c>
      <c r="E23" s="49">
        <f>SUM(E24:E27)</f>
        <v>0</v>
      </c>
      <c r="F23" s="9"/>
      <c r="G23" s="6" t="s">
        <v>36</v>
      </c>
      <c r="H23" s="47">
        <v>300</v>
      </c>
      <c r="I23" s="9"/>
      <c r="J23" s="9"/>
    </row>
    <row r="24" spans="1:10" ht="15.95" customHeight="1" x14ac:dyDescent="0.2">
      <c r="A24" s="9"/>
      <c r="B24" s="28" t="s">
        <v>54</v>
      </c>
      <c r="C24" s="47">
        <v>4000</v>
      </c>
      <c r="D24" s="6"/>
      <c r="E24" s="47">
        <v>0</v>
      </c>
      <c r="F24" s="9"/>
      <c r="G24" s="31" t="s">
        <v>37</v>
      </c>
      <c r="H24" s="52">
        <f>SUM(H13:H23)</f>
        <v>16200</v>
      </c>
      <c r="I24" s="9"/>
      <c r="J24" s="9"/>
    </row>
    <row r="25" spans="1:10" ht="23.1" customHeight="1" x14ac:dyDescent="0.2">
      <c r="A25" s="9"/>
      <c r="B25" s="35"/>
      <c r="C25" s="5"/>
      <c r="D25" s="8" t="s">
        <v>38</v>
      </c>
      <c r="E25" s="47">
        <v>0</v>
      </c>
      <c r="F25" s="9"/>
      <c r="G25" s="43" t="s">
        <v>39</v>
      </c>
      <c r="H25" s="53">
        <f>H12-H24</f>
        <v>1800</v>
      </c>
      <c r="I25" s="9"/>
      <c r="J25" s="9"/>
    </row>
    <row r="26" spans="1:10" ht="15.95" customHeight="1" x14ac:dyDescent="0.2">
      <c r="A26" s="9"/>
      <c r="B26" s="6"/>
      <c r="C26" s="5"/>
      <c r="D26" s="8" t="s">
        <v>40</v>
      </c>
      <c r="E26" s="47">
        <v>0</v>
      </c>
      <c r="F26" s="9"/>
      <c r="G26" s="44"/>
      <c r="H26" s="54"/>
      <c r="I26" s="9"/>
      <c r="J26" s="9"/>
    </row>
    <row r="27" spans="1:10" ht="15.95" customHeight="1" x14ac:dyDescent="0.2">
      <c r="A27" s="9"/>
      <c r="B27" s="6"/>
      <c r="C27" s="24"/>
      <c r="D27" s="33"/>
      <c r="E27" s="5"/>
      <c r="F27" s="9"/>
      <c r="G27" s="11"/>
      <c r="H27" s="11"/>
      <c r="I27" s="9"/>
      <c r="J27" s="9"/>
    </row>
    <row r="28" spans="1:10" ht="15" x14ac:dyDescent="0.2">
      <c r="A28" s="9"/>
      <c r="B28" s="15" t="s">
        <v>41</v>
      </c>
      <c r="C28" s="25">
        <f>C11+C20</f>
        <v>15000</v>
      </c>
      <c r="D28" s="34" t="s">
        <v>42</v>
      </c>
      <c r="E28" s="32">
        <f>E11+E16+E23</f>
        <v>15000</v>
      </c>
      <c r="F28" s="9"/>
      <c r="G28" s="39" t="s">
        <v>43</v>
      </c>
      <c r="H28" s="40"/>
      <c r="I28" s="9"/>
      <c r="J28" s="9"/>
    </row>
    <row r="29" spans="1:10" ht="15" x14ac:dyDescent="0.2">
      <c r="A29" s="9"/>
      <c r="B29" s="10"/>
      <c r="C29" s="9"/>
      <c r="D29" s="9"/>
      <c r="E29" s="9"/>
      <c r="F29" s="9"/>
      <c r="G29" s="11"/>
      <c r="H29" s="11"/>
      <c r="I29" s="9"/>
      <c r="J29" s="9"/>
    </row>
    <row r="30" spans="1:10" x14ac:dyDescent="0.2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2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2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x14ac:dyDescent="0.2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2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2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2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2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2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2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2">
      <c r="B44" s="9"/>
      <c r="C44" s="9"/>
      <c r="D44" s="9"/>
      <c r="E44" s="9"/>
      <c r="F44" s="9"/>
      <c r="I44" s="9"/>
      <c r="J44" s="9"/>
    </row>
    <row r="52" spans="2:2" ht="15" x14ac:dyDescent="0.2">
      <c r="B52" s="2"/>
    </row>
  </sheetData>
  <mergeCells count="7">
    <mergeCell ref="B7:E7"/>
    <mergeCell ref="G7:H7"/>
    <mergeCell ref="G28:H28"/>
    <mergeCell ref="H25:H26"/>
    <mergeCell ref="D10:E10"/>
    <mergeCell ref="G10:H10"/>
    <mergeCell ref="G25:G26"/>
  </mergeCells>
  <phoneticPr fontId="6" type="noConversion"/>
  <pageMargins left="0.75" right="0.75" top="1" bottom="1" header="0" footer="0"/>
  <pageSetup paperSize="9" orientation="portrait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61335f-2f0b-43dd-a468-b0ac7dd8fca1" xsi:nil="true"/>
    <lcf76f155ced4ddcb4097134ff3c332f xmlns="b491b4d8-014e-44b4-b681-9b295da05ee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C3AE9BB7BFF84BA470F0C74853C2C7" ma:contentTypeVersion="12" ma:contentTypeDescription="Crear nuevo documento." ma:contentTypeScope="" ma:versionID="68f04d6466c826ef577954900b29a6aa">
  <xsd:schema xmlns:xsd="http://www.w3.org/2001/XMLSchema" xmlns:xs="http://www.w3.org/2001/XMLSchema" xmlns:p="http://schemas.microsoft.com/office/2006/metadata/properties" xmlns:ns2="b491b4d8-014e-44b4-b681-9b295da05eef" xmlns:ns3="9861335f-2f0b-43dd-a468-b0ac7dd8fca1" targetNamespace="http://schemas.microsoft.com/office/2006/metadata/properties" ma:root="true" ma:fieldsID="711f0aaa56c3e1ea814fa3c12c30c067" ns2:_="" ns3:_="">
    <xsd:import namespace="b491b4d8-014e-44b4-b681-9b295da05eef"/>
    <xsd:import namespace="9861335f-2f0b-43dd-a468-b0ac7dd8f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1b4d8-014e-44b4-b681-9b295da05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4dc8e30-16d7-442c-85cc-6d3a66ba8a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1335f-2f0b-43dd-a468-b0ac7dd8fca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e4cd037-edee-41df-bf42-bb9e19e286a6}" ma:internalName="TaxCatchAll" ma:showField="CatchAllData" ma:web="9861335f-2f0b-43dd-a468-b0ac7dd8f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6F4400-B977-4A55-BEA8-E266C33AA2F0}">
  <ds:schemaRefs>
    <ds:schemaRef ds:uri="http://schemas.microsoft.com/office/2006/metadata/properties"/>
    <ds:schemaRef ds:uri="http://schemas.microsoft.com/office/infopath/2007/PartnerControls"/>
    <ds:schemaRef ds:uri="9861335f-2f0b-43dd-a468-b0ac7dd8fca1"/>
    <ds:schemaRef ds:uri="b491b4d8-014e-44b4-b681-9b295da05eef"/>
  </ds:schemaRefs>
</ds:datastoreItem>
</file>

<file path=customXml/itemProps2.xml><?xml version="1.0" encoding="utf-8"?>
<ds:datastoreItem xmlns:ds="http://schemas.openxmlformats.org/officeDocument/2006/customXml" ds:itemID="{0C82DA85-6E85-43AE-B66A-E81C6042D2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7FE4C9-68D1-40C8-937B-1E7CC8F387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91b4d8-014e-44b4-b681-9b295da05eef"/>
    <ds:schemaRef ds:uri="9861335f-2f0b-43dd-a468-b0ac7dd8f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 Financieros</vt:lpstr>
    </vt:vector>
  </TitlesOfParts>
  <Manager/>
  <Company>Dark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Vicente Franco</dc:creator>
  <cp:keywords/>
  <dc:description/>
  <cp:lastModifiedBy>YEHOR BURLACHENKO</cp:lastModifiedBy>
  <cp:revision/>
  <dcterms:created xsi:type="dcterms:W3CDTF">2009-10-07T11:49:45Z</dcterms:created>
  <dcterms:modified xsi:type="dcterms:W3CDTF">2026-01-13T08:01:08Z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0x010100C8C3AE9BB7BFF84BA470F0C74853C2C7</vt:lpwstr>
  </property>
</Properties>
</file>